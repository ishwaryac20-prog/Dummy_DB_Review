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xr:revisionPtr revIDLastSave="0" documentId="8_{628187C2-D885-4BB7-96BF-AAF62F2A26A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set" sheetId="1" r:id="rId1"/>
    <sheet name="Summary 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" i="3"/>
  <c r="I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" i="3"/>
  <c r="D36" i="1"/>
</calcChain>
</file>

<file path=xl/sharedStrings.xml><?xml version="1.0" encoding="utf-8"?>
<sst xmlns="http://schemas.openxmlformats.org/spreadsheetml/2006/main" count="313" uniqueCount="122">
  <si>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</si>
  <si>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</si>
  <si>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</si>
  <si>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</si>
  <si>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</si>
  <si>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</si>
  <si>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</si>
  <si>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</si>
  <si>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</si>
  <si>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</si>
  <si>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</si>
  <si>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</si>
  <si>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</si>
  <si>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</si>
  <si>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</si>
  <si>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</si>
  <si>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</si>
  <si>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</si>
  <si>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</si>
  <si>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</si>
  <si>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</si>
  <si>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</si>
  <si>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</si>
  <si>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</si>
  <si>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</si>
  <si>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</si>
  <si>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</si>
  <si>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</si>
  <si>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</si>
  <si>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</si>
  <si>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</si>
  <si>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</si>
  <si>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</si>
  <si>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</si>
  <si>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</si>
  <si>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</si>
  <si>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</si>
  <si>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</si>
  <si>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</si>
  <si>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</si>
  <si>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</si>
  <si>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</si>
  <si>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</si>
  <si>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</si>
  <si>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</si>
  <si>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</si>
  <si>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</si>
  <si>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</si>
  <si>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</si>
  <si>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</si>
  <si>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</si>
  <si>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</si>
  <si>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</si>
  <si>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</si>
  <si>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</si>
  <si>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</si>
  <si>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</si>
  <si>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</si>
  <si>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</si>
  <si>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</si>
  <si>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</si>
  <si>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</si>
  <si>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</si>
  <si>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</si>
  <si>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</si>
  <si>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</si>
  <si>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</si>
  <si>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</si>
  <si>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</si>
  <si>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</si>
  <si>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</si>
  <si>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</si>
  <si>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</si>
  <si>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</si>
  <si>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</si>
  <si>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</si>
  <si>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</si>
  <si>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</si>
  <si>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</si>
  <si>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</si>
  <si>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</si>
  <si>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</si>
  <si>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</si>
  <si>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</si>
  <si>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</si>
  <si>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</si>
  <si>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</si>
  <si>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</si>
  <si>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</si>
  <si>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</si>
  <si>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</si>
  <si>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</si>
  <si>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</si>
  <si>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</si>
  <si>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Total price of all products (Sum)</t>
  </si>
  <si>
    <t>Count of products exist in the dataset( Count )</t>
  </si>
  <si>
    <t>Average Price of the Products</t>
  </si>
  <si>
    <t>Minimum price of all Products</t>
  </si>
  <si>
    <t>Maximum price of all Products</t>
  </si>
  <si>
    <t>Price Range</t>
  </si>
  <si>
    <t>Total price of products in the Electronics category (Sum IF)</t>
  </si>
  <si>
    <t>Number of products with a price less than $100 (Count IF)</t>
  </si>
  <si>
    <t>High Price</t>
  </si>
  <si>
    <t>Low Price</t>
  </si>
  <si>
    <t>5. Text Formatting</t>
  </si>
  <si>
    <t>Day</t>
  </si>
  <si>
    <t>Month</t>
  </si>
  <si>
    <t>Refer Column H</t>
  </si>
  <si>
    <t>Refer Column I</t>
  </si>
  <si>
    <t>Refer Column J</t>
  </si>
  <si>
    <t>Raw File</t>
  </si>
  <si>
    <t>Output</t>
  </si>
  <si>
    <t>Country 
Code</t>
  </si>
  <si>
    <t>Output Values</t>
  </si>
  <si>
    <t>Formulas Used</t>
  </si>
  <si>
    <t>2. Minimum and Maximum Value</t>
  </si>
  <si>
    <t>3. Logical Function</t>
  </si>
  <si>
    <t>4. Conditional Functions</t>
  </si>
  <si>
    <t>Day using Left</t>
  </si>
  <si>
    <t>Country using Right</t>
  </si>
  <si>
    <t>Month using Mid</t>
  </si>
  <si>
    <t>Refer to Column G
 for Price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</si>
</sst>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theme="7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8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/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8" fontId="9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8" fontId="9" fillId="0" borderId="10" xfId="0" applyNumberFormat="1" applyFont="1" applyBorder="1" applyAlignment="1">
      <alignment horizontal="center"/>
    </xf>
    <xf numFmtId="8" fontId="9" fillId="0" borderId="10" xfId="0" applyNumberFormat="1" applyFont="1" applyBorder="1" applyAlignment="1">
      <alignment horizontal="center" vertical="center"/>
    </xf>
    <xf numFmtId="8" fontId="9" fillId="0" borderId="13" xfId="0" applyNumberFormat="1" applyFont="1" applyBorder="1" applyAlignment="1">
      <alignment horizontal="center" vertical="center"/>
    </xf>
    <xf numFmtId="0" fontId="9" fillId="0" borderId="10" xfId="0" applyNumberFormat="1" applyFont="1" applyBorder="1" applyAlignment="1">
      <alignment horizontal="center" vertical="center"/>
    </xf>
    <xf numFmtId="8" fontId="9" fillId="0" borderId="13" xfId="0" applyNumberFormat="1" applyFont="1" applyBorder="1" applyAlignment="1">
      <alignment horizontal="center"/>
    </xf>
    <xf numFmtId="0" fontId="4" fillId="5" borderId="1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wrapText="1"/>
    </xf>
    <xf numFmtId="0" fontId="6" fillId="8" borderId="22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 wrapText="1"/>
    </xf>
    <xf numFmtId="0" fontId="7" fillId="0" borderId="21" xfId="0" applyFont="1" applyBorder="1" applyAlignment="1">
      <alignment horizontal="center"/>
    </xf>
    <xf numFmtId="8" fontId="9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428625</xdr:colOff>
      <xdr:row>3</xdr:row>
      <xdr:rowOff>123825</xdr:rowOff>
    </xdr:from>
    <xdr:to>
      <xdr:col>22</xdr:col>
      <xdr:colOff>124548</xdr:colOff>
      <xdr:row>8</xdr:row>
      <xdr:rowOff>85869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7402C9-AC64-2C11-A4C5-8CE9BF686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0" y="742950"/>
          <a:ext cx="5182323" cy="102884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133351</xdr:rowOff>
    </xdr:from>
    <xdr:to>
      <xdr:col>20</xdr:col>
      <xdr:colOff>104775</xdr:colOff>
      <xdr:row>13</xdr:row>
      <xdr:rowOff>77354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D743820-BDEF-E07B-3A22-325B0D1FC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9475" y="2019301"/>
          <a:ext cx="3762375" cy="810778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14</xdr:row>
      <xdr:rowOff>152400</xdr:rowOff>
    </xdr:from>
    <xdr:to>
      <xdr:col>21</xdr:col>
      <xdr:colOff>229261</xdr:colOff>
      <xdr:row>18</xdr:row>
      <xdr:rowOff>38205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9182575-B9DC-27FB-7160-89CE2116A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11350" y="3105150"/>
          <a:ext cx="4734586" cy="752580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19</xdr:row>
      <xdr:rowOff>66676</xdr:rowOff>
    </xdr:from>
    <xdr:to>
      <xdr:col>24</xdr:col>
      <xdr:colOff>181888</xdr:colOff>
      <xdr:row>23</xdr:row>
      <xdr:rowOff>133351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45E7A8-67EA-29D0-06E5-60EDE7224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82775" y="4086226"/>
          <a:ext cx="6544588" cy="933450"/>
        </a:xfrm>
        <a:prstGeom prst="rect">
          <a:avLst/>
        </a:prstGeom>
      </xdr:spPr>
    </xdr:pic>
    <xdr:clientData/>
  </xdr:twoCellAnchor>
  <xdr:twoCellAnchor editAs="oneCell">
    <xdr:from>
      <xdr:col>13</xdr:col>
      <xdr:colOff>428625</xdr:colOff>
      <xdr:row>24</xdr:row>
      <xdr:rowOff>123825</xdr:rowOff>
    </xdr:from>
    <xdr:to>
      <xdr:col>18</xdr:col>
      <xdr:colOff>133734</xdr:colOff>
      <xdr:row>29</xdr:row>
      <xdr:rowOff>19184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8970412-C931-7E4E-588F-4EB1D29F8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68500" y="5210175"/>
          <a:ext cx="2753109" cy="962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workbookViewId="0">
      <selection activeCell="E9" sqref="E9"/>
    </sheetView>
  </sheetViews>
  <sheetFormatPr defaultColWidth="12.5703125" defaultRowHeight="15" customHeight="1" x14ac:dyDescent="0.2"/>
  <cols>
    <col min="2" max="2" width="14.140625" customWidth="1"/>
    <col min="9" max="9" width="27.28515625" bestFit="1" customWidth="1"/>
  </cols>
  <sheetData>
    <row r="1" spans="1:12" ht="15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</row>
    <row r="2" spans="1:12" ht="15.75" customHeight="1" x14ac:dyDescent="0.2">
      <c r="A2" s="5" t="s">
        <v>6</v>
      </c>
      <c r="B2" s="5" t="s">
        <v>7</v>
      </c>
      <c r="C2" s="5" t="s">
        <v>8</v>
      </c>
      <c r="D2" s="5">
        <v>1000</v>
      </c>
      <c r="E2" s="5">
        <v>30</v>
      </c>
      <c r="F2" s="5" t="s">
        <v>9</v>
      </c>
      <c r="G2" s="2"/>
    </row>
    <row r="3" spans="1:12" ht="15.75" customHeight="1" x14ac:dyDescent="0.2">
      <c r="A3" s="6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G3" s="2"/>
      <c r="I3" s="8"/>
      <c r="J3" s="8"/>
      <c r="K3" s="7"/>
      <c r="L3" s="7"/>
    </row>
    <row r="4" spans="1:12" ht="15.75" customHeight="1" x14ac:dyDescent="0.2">
      <c r="A4" s="5" t="s">
        <v>14</v>
      </c>
      <c r="B4" s="5" t="s">
        <v>15</v>
      </c>
      <c r="C4" s="5" t="s">
        <v>16</v>
      </c>
      <c r="D4" s="5">
        <v>130</v>
      </c>
      <c r="E4" s="5">
        <v>40</v>
      </c>
      <c r="F4" s="5" t="s">
        <v>17</v>
      </c>
      <c r="G4" s="2"/>
      <c r="J4" s="9"/>
    </row>
    <row r="5" spans="1:12" ht="15.75" customHeight="1" x14ac:dyDescent="0.2">
      <c r="A5" s="6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G5" s="2"/>
    </row>
    <row r="6" spans="1:12" ht="15.75" customHeight="1" x14ac:dyDescent="0.2">
      <c r="A6" s="5" t="s">
        <v>21</v>
      </c>
      <c r="B6" s="5" t="s">
        <v>22</v>
      </c>
      <c r="C6" s="5" t="s">
        <v>23</v>
      </c>
      <c r="D6" s="5">
        <v>70</v>
      </c>
      <c r="E6" s="5">
        <v>20</v>
      </c>
      <c r="F6" s="5" t="s">
        <v>24</v>
      </c>
      <c r="G6" s="2"/>
    </row>
    <row r="7" spans="1:12" ht="15.75" customHeight="1" x14ac:dyDescent="0.2">
      <c r="A7" s="6" t="s">
        <v>25</v>
      </c>
      <c r="B7" s="6" t="s">
        <v>26</v>
      </c>
      <c r="C7" s="6" t="s">
        <v>27</v>
      </c>
      <c r="D7" s="6">
        <v>200</v>
      </c>
      <c r="E7" s="6">
        <v>45</v>
      </c>
      <c r="F7" s="6" t="s">
        <v>9</v>
      </c>
      <c r="G7" s="2"/>
    </row>
    <row r="8" spans="1:12" ht="15.75" customHeight="1" x14ac:dyDescent="0.2">
      <c r="A8" s="5" t="s">
        <v>28</v>
      </c>
      <c r="B8" s="5" t="s">
        <v>29</v>
      </c>
      <c r="C8" s="5" t="s">
        <v>30</v>
      </c>
      <c r="D8" s="5">
        <v>30</v>
      </c>
      <c r="E8" s="5">
        <v>5</v>
      </c>
      <c r="F8" s="5" t="s">
        <v>13</v>
      </c>
      <c r="G8" s="2"/>
    </row>
    <row r="9" spans="1:12" ht="15.75" customHeight="1" x14ac:dyDescent="0.2">
      <c r="A9" s="6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  <c r="G9" s="2"/>
    </row>
    <row r="10" spans="1:12" ht="15.75" customHeight="1" x14ac:dyDescent="0.2">
      <c r="A10" s="5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5" t="s">
        <v>9</v>
      </c>
      <c r="G10" s="2"/>
    </row>
    <row r="11" spans="1:12" ht="15.75" customHeight="1" x14ac:dyDescent="0.2">
      <c r="A11" s="6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24</v>
      </c>
      <c r="G11" s="2"/>
    </row>
    <row r="12" spans="1:12" ht="15.75" customHeight="1" x14ac:dyDescent="0.2">
      <c r="A12" s="5" t="s">
        <v>40</v>
      </c>
      <c r="B12" s="5" t="s">
        <v>7</v>
      </c>
      <c r="C12" s="5" t="s">
        <v>41</v>
      </c>
      <c r="D12" s="5">
        <v>950</v>
      </c>
      <c r="E12" s="5">
        <v>25</v>
      </c>
      <c r="F12" s="5" t="s">
        <v>9</v>
      </c>
      <c r="G12" s="2"/>
    </row>
    <row r="13" spans="1:12" ht="15.75" customHeight="1" x14ac:dyDescent="0.2">
      <c r="A13" s="6" t="s">
        <v>42</v>
      </c>
      <c r="B13" s="6" t="s">
        <v>11</v>
      </c>
      <c r="C13" s="6" t="s">
        <v>30</v>
      </c>
      <c r="D13" s="6">
        <v>90</v>
      </c>
      <c r="E13" s="6">
        <v>40</v>
      </c>
      <c r="F13" s="6" t="s">
        <v>13</v>
      </c>
      <c r="G13" s="2"/>
    </row>
    <row r="14" spans="1:12" ht="15.75" customHeight="1" x14ac:dyDescent="0.2">
      <c r="A14" s="5" t="s">
        <v>43</v>
      </c>
      <c r="B14" s="5" t="s">
        <v>15</v>
      </c>
      <c r="C14" s="5" t="s">
        <v>44</v>
      </c>
      <c r="D14" s="5">
        <v>120</v>
      </c>
      <c r="E14" s="5">
        <v>35</v>
      </c>
      <c r="F14" s="5" t="s">
        <v>17</v>
      </c>
      <c r="G14" s="2"/>
    </row>
    <row r="15" spans="1:12" ht="15.75" customHeight="1" x14ac:dyDescent="0.2">
      <c r="A15" s="6" t="s">
        <v>45</v>
      </c>
      <c r="B15" s="6" t="s">
        <v>46</v>
      </c>
      <c r="C15" s="6" t="s">
        <v>47</v>
      </c>
      <c r="D15" s="6">
        <v>150</v>
      </c>
      <c r="E15" s="6">
        <v>15</v>
      </c>
      <c r="F15" s="6" t="s">
        <v>9</v>
      </c>
      <c r="G15" s="2"/>
    </row>
    <row r="16" spans="1:12" ht="15.75" customHeight="1" x14ac:dyDescent="0.2">
      <c r="A16" s="5" t="s">
        <v>48</v>
      </c>
      <c r="B16" s="5" t="s">
        <v>26</v>
      </c>
      <c r="C16" s="5" t="s">
        <v>49</v>
      </c>
      <c r="D16" s="5">
        <v>250</v>
      </c>
      <c r="E16" s="5">
        <v>20</v>
      </c>
      <c r="F16" s="5" t="s">
        <v>9</v>
      </c>
      <c r="G16" s="2"/>
    </row>
    <row r="17" spans="1:7" ht="15.75" customHeight="1" x14ac:dyDescent="0.2">
      <c r="A17" s="6" t="s">
        <v>50</v>
      </c>
      <c r="B17" s="6" t="s">
        <v>51</v>
      </c>
      <c r="C17" s="6" t="s">
        <v>52</v>
      </c>
      <c r="D17" s="6">
        <v>50</v>
      </c>
      <c r="E17" s="6">
        <v>35</v>
      </c>
      <c r="F17" s="6" t="s">
        <v>53</v>
      </c>
      <c r="G17" s="2"/>
    </row>
    <row r="18" spans="1:7" ht="15.75" customHeight="1" x14ac:dyDescent="0.2">
      <c r="A18" s="5" t="s">
        <v>54</v>
      </c>
      <c r="B18" s="5" t="s">
        <v>46</v>
      </c>
      <c r="C18" s="5" t="s">
        <v>55</v>
      </c>
      <c r="D18" s="5">
        <v>160</v>
      </c>
      <c r="E18" s="5">
        <v>15</v>
      </c>
      <c r="F18" s="5" t="s">
        <v>9</v>
      </c>
      <c r="G18" s="2"/>
    </row>
    <row r="19" spans="1:7" ht="15.75" customHeight="1" x14ac:dyDescent="0.2">
      <c r="A19" s="6" t="s">
        <v>56</v>
      </c>
      <c r="B19" s="6" t="s">
        <v>7</v>
      </c>
      <c r="C19" s="6" t="s">
        <v>57</v>
      </c>
      <c r="D19" s="6">
        <v>980</v>
      </c>
      <c r="E19" s="6">
        <v>10</v>
      </c>
      <c r="F19" s="6" t="s">
        <v>9</v>
      </c>
      <c r="G19" s="2"/>
    </row>
    <row r="20" spans="1:7" ht="15.75" customHeight="1" x14ac:dyDescent="0.2">
      <c r="A20" s="5" t="s">
        <v>58</v>
      </c>
      <c r="B20" s="5" t="s">
        <v>59</v>
      </c>
      <c r="C20" s="5" t="s">
        <v>60</v>
      </c>
      <c r="D20" s="5">
        <v>150</v>
      </c>
      <c r="E20" s="5">
        <v>15</v>
      </c>
      <c r="F20" s="5" t="s">
        <v>13</v>
      </c>
      <c r="G20" s="2"/>
    </row>
    <row r="21" spans="1:7" ht="15.75" customHeight="1" x14ac:dyDescent="0.2">
      <c r="A21" s="6" t="s">
        <v>61</v>
      </c>
      <c r="B21" s="6" t="s">
        <v>62</v>
      </c>
      <c r="C21" s="6" t="s">
        <v>63</v>
      </c>
      <c r="D21" s="6">
        <v>200</v>
      </c>
      <c r="E21" s="6">
        <v>10</v>
      </c>
      <c r="F21" s="6" t="s">
        <v>24</v>
      </c>
      <c r="G21" s="2"/>
    </row>
    <row r="22" spans="1:7" ht="15.75" customHeight="1" x14ac:dyDescent="0.2">
      <c r="A22" s="5" t="s">
        <v>64</v>
      </c>
      <c r="B22" s="5" t="s">
        <v>65</v>
      </c>
      <c r="C22" s="5" t="s">
        <v>66</v>
      </c>
      <c r="D22" s="5">
        <v>700</v>
      </c>
      <c r="E22" s="5">
        <v>50</v>
      </c>
      <c r="F22" s="5" t="s">
        <v>9</v>
      </c>
      <c r="G22" s="2"/>
    </row>
    <row r="23" spans="1:7" ht="15.75" customHeight="1" x14ac:dyDescent="0.2">
      <c r="A23" s="6" t="s">
        <v>67</v>
      </c>
      <c r="B23" s="6" t="s">
        <v>68</v>
      </c>
      <c r="C23" s="6" t="s">
        <v>69</v>
      </c>
      <c r="D23" s="6">
        <v>80</v>
      </c>
      <c r="E23" s="6">
        <v>20</v>
      </c>
      <c r="F23" s="6" t="s">
        <v>17</v>
      </c>
      <c r="G23" s="2"/>
    </row>
    <row r="24" spans="1:7" ht="15.75" customHeight="1" x14ac:dyDescent="0.2">
      <c r="A24" s="5" t="s">
        <v>70</v>
      </c>
      <c r="B24" s="5" t="s">
        <v>71</v>
      </c>
      <c r="C24" s="5" t="s">
        <v>72</v>
      </c>
      <c r="D24" s="5">
        <v>150</v>
      </c>
      <c r="E24" s="5">
        <v>30</v>
      </c>
      <c r="F24" s="5" t="s">
        <v>9</v>
      </c>
      <c r="G24" s="2"/>
    </row>
    <row r="25" spans="1:7" ht="15.75" customHeight="1" x14ac:dyDescent="0.2">
      <c r="A25" s="6" t="s">
        <v>50</v>
      </c>
      <c r="B25" s="6" t="s">
        <v>51</v>
      </c>
      <c r="C25" s="6" t="s">
        <v>52</v>
      </c>
      <c r="D25" s="6">
        <v>50</v>
      </c>
      <c r="E25" s="6">
        <v>35</v>
      </c>
      <c r="F25" s="6" t="s">
        <v>53</v>
      </c>
      <c r="G25" s="3"/>
    </row>
    <row r="26" spans="1:7" ht="15.75" customHeight="1" x14ac:dyDescent="0.2">
      <c r="A26" s="5" t="s">
        <v>73</v>
      </c>
      <c r="B26" s="5" t="s">
        <v>19</v>
      </c>
      <c r="C26" s="5" t="s">
        <v>74</v>
      </c>
      <c r="D26" s="5">
        <v>800</v>
      </c>
      <c r="E26" s="5">
        <v>45</v>
      </c>
      <c r="F26" s="5" t="s">
        <v>9</v>
      </c>
      <c r="G26" s="2"/>
    </row>
    <row r="27" spans="1:7" ht="15.75" customHeight="1" x14ac:dyDescent="0.2">
      <c r="A27" s="6" t="s">
        <v>75</v>
      </c>
      <c r="B27" s="6" t="s">
        <v>59</v>
      </c>
      <c r="C27" s="6" t="s">
        <v>76</v>
      </c>
      <c r="D27" s="6">
        <v>130</v>
      </c>
      <c r="E27" s="6">
        <v>25</v>
      </c>
      <c r="F27" s="6" t="s">
        <v>13</v>
      </c>
      <c r="G27" s="2"/>
    </row>
    <row r="28" spans="1:7" ht="15.75" customHeight="1" x14ac:dyDescent="0.2">
      <c r="A28" s="5" t="s">
        <v>77</v>
      </c>
      <c r="B28" s="5" t="s">
        <v>32</v>
      </c>
      <c r="C28" s="5" t="s">
        <v>78</v>
      </c>
      <c r="D28" s="5">
        <v>400</v>
      </c>
      <c r="E28" s="5">
        <v>40</v>
      </c>
      <c r="F28" s="5" t="s">
        <v>17</v>
      </c>
      <c r="G28" s="2"/>
    </row>
    <row r="29" spans="1:7" ht="15.75" customHeight="1" x14ac:dyDescent="0.2">
      <c r="A29" s="6" t="s">
        <v>48</v>
      </c>
      <c r="B29" s="6" t="s">
        <v>26</v>
      </c>
      <c r="C29" s="6" t="s">
        <v>49</v>
      </c>
      <c r="D29" s="6">
        <v>230</v>
      </c>
      <c r="E29" s="6">
        <v>20</v>
      </c>
      <c r="F29" s="6" t="s">
        <v>9</v>
      </c>
      <c r="G29" s="3"/>
    </row>
    <row r="30" spans="1:7" ht="15.75" customHeight="1" x14ac:dyDescent="0.2">
      <c r="A30" s="5" t="s">
        <v>79</v>
      </c>
      <c r="B30" s="5" t="s">
        <v>80</v>
      </c>
      <c r="C30" s="5" t="s">
        <v>81</v>
      </c>
      <c r="D30" s="5">
        <v>60</v>
      </c>
      <c r="E30" s="5">
        <v>30</v>
      </c>
      <c r="F30" s="5" t="s">
        <v>13</v>
      </c>
      <c r="G30" s="2"/>
    </row>
    <row r="31" spans="1:7" ht="15.75" customHeight="1" x14ac:dyDescent="0.2">
      <c r="A31" s="6" t="s">
        <v>82</v>
      </c>
      <c r="B31" s="6" t="s">
        <v>83</v>
      </c>
      <c r="C31" s="6" t="s">
        <v>84</v>
      </c>
      <c r="D31" s="6">
        <v>40</v>
      </c>
      <c r="E31" s="6">
        <v>10</v>
      </c>
      <c r="F31" s="6" t="s">
        <v>17</v>
      </c>
      <c r="G31" s="2"/>
    </row>
    <row r="32" spans="1:7" ht="15.75" customHeight="1" x14ac:dyDescent="0.2">
      <c r="A32" s="5" t="s">
        <v>85</v>
      </c>
      <c r="B32" s="5" t="s">
        <v>71</v>
      </c>
      <c r="C32" s="5" t="s">
        <v>86</v>
      </c>
      <c r="D32" s="5">
        <v>130</v>
      </c>
      <c r="E32" s="5">
        <v>5</v>
      </c>
      <c r="F32" s="5" t="s">
        <v>9</v>
      </c>
      <c r="G32" s="2"/>
    </row>
    <row r="33" spans="1:7" ht="15.75" customHeight="1" x14ac:dyDescent="0.2">
      <c r="A33" s="6" t="s">
        <v>87</v>
      </c>
      <c r="B33" s="6" t="s">
        <v>88</v>
      </c>
      <c r="C33" s="6" t="s">
        <v>89</v>
      </c>
      <c r="D33" s="6">
        <v>50</v>
      </c>
      <c r="E33" s="6">
        <v>50</v>
      </c>
      <c r="F33" s="6" t="s">
        <v>13</v>
      </c>
      <c r="G33" s="2"/>
    </row>
    <row r="34" spans="1:7" ht="15.75" customHeight="1" x14ac:dyDescent="0.2">
      <c r="A34" s="5" t="s">
        <v>40</v>
      </c>
      <c r="B34" s="5" t="s">
        <v>7</v>
      </c>
      <c r="C34" s="5" t="s">
        <v>41</v>
      </c>
      <c r="D34" s="5">
        <v>950</v>
      </c>
      <c r="E34" s="5">
        <v>25</v>
      </c>
      <c r="F34" s="5" t="s">
        <v>9</v>
      </c>
      <c r="G34" s="2"/>
    </row>
    <row r="35" spans="1:7" ht="15.75" customHeight="1" x14ac:dyDescent="0.2">
      <c r="A35" s="6" t="s">
        <v>90</v>
      </c>
      <c r="B35" s="6" t="s">
        <v>91</v>
      </c>
      <c r="C35" s="6" t="s">
        <v>92</v>
      </c>
      <c r="D35" s="6">
        <v>100</v>
      </c>
      <c r="E35" s="6">
        <v>20</v>
      </c>
      <c r="F35" s="6" t="s">
        <v>53</v>
      </c>
      <c r="G35" s="2"/>
    </row>
    <row r="36" spans="1:7" ht="15.75" customHeight="1" x14ac:dyDescent="0.2">
      <c r="D36">
        <f>SUM(D2:D35)</f>
        <v>10100</v>
      </c>
    </row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D87B-AA10-4901-BC19-35B1B8B19702}">
  <dimension ref="A1:T36"/>
  <sheetViews>
    <sheetView showGridLines="0" tabSelected="1" zoomScale="90" zoomScaleNormal="90" workbookViewId="0">
      <selection activeCell="K6" sqref="K6"/>
    </sheetView>
  </sheetViews>
  <sheetFormatPr defaultRowHeight="12.75" x14ac:dyDescent="0.2"/>
  <cols>
    <col min="1" max="1" width="11.7109375" style="10" bestFit="1" customWidth="1"/>
    <col min="2" max="2" width="15.140625" style="10" bestFit="1" customWidth="1"/>
    <col min="3" max="3" width="11.85546875" style="10" bestFit="1" customWidth="1"/>
    <col min="4" max="4" width="8.28515625" style="10" bestFit="1" customWidth="1"/>
    <col min="5" max="5" width="8.7109375" style="10" bestFit="1" customWidth="1"/>
    <col min="6" max="6" width="12" style="10" bestFit="1" customWidth="1"/>
    <col min="7" max="7" width="14.42578125" style="11" bestFit="1" customWidth="1"/>
    <col min="8" max="8" width="4.28515625" style="11" bestFit="1" customWidth="1"/>
    <col min="9" max="9" width="14.28515625" style="11" bestFit="1" customWidth="1"/>
    <col min="10" max="10" width="7" style="11" bestFit="1" customWidth="1"/>
    <col min="11" max="11" width="12.85546875" style="34" customWidth="1"/>
    <col min="12" max="12" width="53.42578125" bestFit="1" customWidth="1"/>
    <col min="13" max="13" width="17.5703125" bestFit="1" customWidth="1"/>
  </cols>
  <sheetData>
    <row r="1" spans="1:20" ht="16.5" thickBot="1" x14ac:dyDescent="0.3">
      <c r="A1" s="55" t="s">
        <v>110</v>
      </c>
      <c r="B1" s="56"/>
      <c r="C1" s="56"/>
      <c r="D1" s="56"/>
      <c r="E1" s="56"/>
      <c r="F1" s="57"/>
      <c r="G1" s="61" t="s">
        <v>111</v>
      </c>
      <c r="H1" s="62"/>
      <c r="I1" s="62"/>
      <c r="J1" s="63"/>
    </row>
    <row r="2" spans="1:20" ht="15.75" thickBot="1" x14ac:dyDescent="0.25">
      <c r="A2" s="52" t="s">
        <v>0</v>
      </c>
      <c r="B2" s="53" t="s">
        <v>1</v>
      </c>
      <c r="C2" s="53" t="s">
        <v>2</v>
      </c>
      <c r="D2" s="53" t="s">
        <v>3</v>
      </c>
      <c r="E2" s="53" t="s">
        <v>4</v>
      </c>
      <c r="F2" s="54" t="s">
        <v>5</v>
      </c>
      <c r="G2" s="58" t="s">
        <v>99</v>
      </c>
      <c r="H2" s="59" t="s">
        <v>105</v>
      </c>
      <c r="I2" s="59" t="s">
        <v>112</v>
      </c>
      <c r="J2" s="60" t="s">
        <v>106</v>
      </c>
      <c r="L2" s="35" t="s">
        <v>113</v>
      </c>
      <c r="M2" s="36"/>
      <c r="O2" s="7"/>
      <c r="P2" s="35" t="s">
        <v>114</v>
      </c>
      <c r="Q2" s="39"/>
      <c r="R2" s="39"/>
      <c r="S2" s="39"/>
      <c r="T2" s="36"/>
    </row>
    <row r="3" spans="1:20" ht="16.5" thickBot="1" x14ac:dyDescent="0.3">
      <c r="A3" s="15" t="s">
        <v>6</v>
      </c>
      <c r="B3" s="16" t="s">
        <v>7</v>
      </c>
      <c r="C3" s="16" t="s">
        <v>8</v>
      </c>
      <c r="D3" s="16">
        <v>1000</v>
      </c>
      <c r="E3" s="16">
        <v>30</v>
      </c>
      <c r="F3" s="17" t="s">
        <v>9</v>
      </c>
      <c r="G3" s="18" t="str">
        <f>IF(D3&gt;500, "High Price", "Standard Price" )</f>
        <v>High Price</v>
      </c>
      <c r="H3" s="19" t="str">
        <f>LEFT(A3,2)</f>
        <v>28</v>
      </c>
      <c r="I3" s="19" t="str">
        <f>RIGHT(A3,2)</f>
        <v>US</v>
      </c>
      <c r="J3" s="20" t="str">
        <f>MID(A3,4,3)</f>
        <v>JAN</v>
      </c>
      <c r="L3" s="37"/>
      <c r="M3" s="38"/>
      <c r="O3" s="7"/>
      <c r="P3" s="37"/>
      <c r="Q3" s="40"/>
      <c r="R3" s="40"/>
      <c r="S3" s="40"/>
      <c r="T3" s="38"/>
    </row>
    <row r="4" spans="1:20" ht="16.5" thickBot="1" x14ac:dyDescent="0.3">
      <c r="A4" s="21" t="s">
        <v>10</v>
      </c>
      <c r="B4" s="22" t="s">
        <v>11</v>
      </c>
      <c r="C4" s="22" t="s">
        <v>12</v>
      </c>
      <c r="D4" s="22">
        <v>80</v>
      </c>
      <c r="E4" s="22">
        <v>15</v>
      </c>
      <c r="F4" s="23" t="s">
        <v>13</v>
      </c>
      <c r="G4" s="24" t="str">
        <f t="shared" ref="G4:G36" si="0">IF(D4&gt;500, "High Price", "Standard Price" )</f>
        <v>Standard Price</v>
      </c>
      <c r="H4" s="19" t="str">
        <f t="shared" ref="H4:H36" si="1">LEFT(A4,2)</f>
        <v>15</v>
      </c>
      <c r="I4" s="25" t="str">
        <f t="shared" ref="I4:I36" si="2">RIGHT(A4,2)</f>
        <v>US</v>
      </c>
      <c r="J4" s="26" t="str">
        <f t="shared" ref="J4:J36" si="3">MID(A4,4,3)</f>
        <v>FEB</v>
      </c>
    </row>
    <row r="5" spans="1:20" ht="19.5" thickBot="1" x14ac:dyDescent="0.35">
      <c r="A5" s="21" t="s">
        <v>14</v>
      </c>
      <c r="B5" s="22" t="s">
        <v>15</v>
      </c>
      <c r="C5" s="22" t="s">
        <v>16</v>
      </c>
      <c r="D5" s="22">
        <v>130</v>
      </c>
      <c r="E5" s="22">
        <v>40</v>
      </c>
      <c r="F5" s="23" t="s">
        <v>17</v>
      </c>
      <c r="G5" s="24" t="str">
        <f t="shared" si="0"/>
        <v>Standard Price</v>
      </c>
      <c r="H5" s="19" t="str">
        <f t="shared" si="1"/>
        <v>03</v>
      </c>
      <c r="I5" s="25" t="str">
        <f t="shared" si="2"/>
        <v>US</v>
      </c>
      <c r="J5" s="26" t="str">
        <f t="shared" si="3"/>
        <v>MAR</v>
      </c>
      <c r="L5" s="43" t="s">
        <v>93</v>
      </c>
      <c r="M5" s="44"/>
    </row>
    <row r="6" spans="1:20" ht="15.75" x14ac:dyDescent="0.25">
      <c r="A6" s="21" t="s">
        <v>18</v>
      </c>
      <c r="B6" s="22" t="s">
        <v>19</v>
      </c>
      <c r="C6" s="22" t="s">
        <v>20</v>
      </c>
      <c r="D6" s="22">
        <v>900</v>
      </c>
      <c r="E6" s="22">
        <v>25</v>
      </c>
      <c r="F6" s="23" t="s">
        <v>9</v>
      </c>
      <c r="G6" s="24" t="str">
        <f t="shared" si="0"/>
        <v>High Price</v>
      </c>
      <c r="H6" s="19" t="str">
        <f t="shared" si="1"/>
        <v>11</v>
      </c>
      <c r="I6" s="25" t="str">
        <f t="shared" si="2"/>
        <v>US</v>
      </c>
      <c r="J6" s="26" t="str">
        <f t="shared" si="3"/>
        <v>APR</v>
      </c>
      <c r="L6" s="14" t="s">
        <v>94</v>
      </c>
      <c r="M6" s="45">
        <v>10100</v>
      </c>
    </row>
    <row r="7" spans="1:20" ht="15.75" x14ac:dyDescent="0.25">
      <c r="A7" s="21" t="s">
        <v>21</v>
      </c>
      <c r="B7" s="22" t="s">
        <v>22</v>
      </c>
      <c r="C7" s="22" t="s">
        <v>23</v>
      </c>
      <c r="D7" s="22">
        <v>70</v>
      </c>
      <c r="E7" s="22">
        <v>20</v>
      </c>
      <c r="F7" s="23" t="s">
        <v>24</v>
      </c>
      <c r="G7" s="24" t="str">
        <f t="shared" si="0"/>
        <v>Standard Price</v>
      </c>
      <c r="H7" s="19" t="str">
        <f t="shared" si="1"/>
        <v>22</v>
      </c>
      <c r="I7" s="25" t="str">
        <f t="shared" si="2"/>
        <v>US</v>
      </c>
      <c r="J7" s="26" t="str">
        <f t="shared" si="3"/>
        <v>MAY</v>
      </c>
      <c r="L7" s="12" t="s">
        <v>95</v>
      </c>
      <c r="M7" s="46">
        <v>34</v>
      </c>
    </row>
    <row r="8" spans="1:20" ht="16.5" thickBot="1" x14ac:dyDescent="0.3">
      <c r="A8" s="21" t="s">
        <v>25</v>
      </c>
      <c r="B8" s="22" t="s">
        <v>26</v>
      </c>
      <c r="C8" s="22" t="s">
        <v>27</v>
      </c>
      <c r="D8" s="22">
        <v>200</v>
      </c>
      <c r="E8" s="22">
        <v>45</v>
      </c>
      <c r="F8" s="23" t="s">
        <v>9</v>
      </c>
      <c r="G8" s="24" t="str">
        <f t="shared" si="0"/>
        <v>Standard Price</v>
      </c>
      <c r="H8" s="19" t="str">
        <f t="shared" si="1"/>
        <v>07</v>
      </c>
      <c r="I8" s="25" t="str">
        <f t="shared" si="2"/>
        <v>UK</v>
      </c>
      <c r="J8" s="26" t="str">
        <f t="shared" si="3"/>
        <v>JUN</v>
      </c>
      <c r="L8" s="13" t="s">
        <v>96</v>
      </c>
      <c r="M8" s="47">
        <v>297.05882352941177</v>
      </c>
    </row>
    <row r="9" spans="1:20" ht="15.75" x14ac:dyDescent="0.25">
      <c r="A9" s="21" t="s">
        <v>28</v>
      </c>
      <c r="B9" s="22" t="s">
        <v>29</v>
      </c>
      <c r="C9" s="22" t="s">
        <v>30</v>
      </c>
      <c r="D9" s="22">
        <v>30</v>
      </c>
      <c r="E9" s="22">
        <v>5</v>
      </c>
      <c r="F9" s="23" t="s">
        <v>13</v>
      </c>
      <c r="G9" s="24" t="str">
        <f t="shared" si="0"/>
        <v>Standard Price</v>
      </c>
      <c r="H9" s="19" t="str">
        <f t="shared" si="1"/>
        <v>19</v>
      </c>
      <c r="I9" s="25" t="str">
        <f t="shared" si="2"/>
        <v>UK</v>
      </c>
      <c r="J9" s="26" t="str">
        <f t="shared" si="3"/>
        <v>JUL</v>
      </c>
    </row>
    <row r="10" spans="1:20" ht="16.5" thickBot="1" x14ac:dyDescent="0.3">
      <c r="A10" s="21" t="s">
        <v>31</v>
      </c>
      <c r="B10" s="22" t="s">
        <v>32</v>
      </c>
      <c r="C10" s="22" t="s">
        <v>33</v>
      </c>
      <c r="D10" s="22">
        <v>90</v>
      </c>
      <c r="E10" s="22">
        <v>35</v>
      </c>
      <c r="F10" s="23" t="s">
        <v>17</v>
      </c>
      <c r="G10" s="24" t="str">
        <f t="shared" si="0"/>
        <v>Standard Price</v>
      </c>
      <c r="H10" s="19" t="str">
        <f t="shared" si="1"/>
        <v>23</v>
      </c>
      <c r="I10" s="25" t="str">
        <f t="shared" si="2"/>
        <v>UK</v>
      </c>
      <c r="J10" s="26" t="str">
        <f t="shared" si="3"/>
        <v>AUG</v>
      </c>
    </row>
    <row r="11" spans="1:20" ht="19.5" thickBot="1" x14ac:dyDescent="0.35">
      <c r="A11" s="21" t="s">
        <v>34</v>
      </c>
      <c r="B11" s="22" t="s">
        <v>35</v>
      </c>
      <c r="C11" s="22" t="s">
        <v>36</v>
      </c>
      <c r="D11" s="22">
        <v>500</v>
      </c>
      <c r="E11" s="22">
        <v>50</v>
      </c>
      <c r="F11" s="23" t="s">
        <v>9</v>
      </c>
      <c r="G11" s="24" t="str">
        <f t="shared" si="0"/>
        <v>Standard Price</v>
      </c>
      <c r="H11" s="19" t="str">
        <f t="shared" si="1"/>
        <v>05</v>
      </c>
      <c r="I11" s="25" t="str">
        <f t="shared" si="2"/>
        <v>UK</v>
      </c>
      <c r="J11" s="26" t="str">
        <f t="shared" si="3"/>
        <v>SEP</v>
      </c>
      <c r="L11" s="43" t="s">
        <v>115</v>
      </c>
      <c r="M11" s="44"/>
    </row>
    <row r="12" spans="1:20" ht="15.75" x14ac:dyDescent="0.25">
      <c r="A12" s="21" t="s">
        <v>37</v>
      </c>
      <c r="B12" s="22" t="s">
        <v>38</v>
      </c>
      <c r="C12" s="22" t="s">
        <v>39</v>
      </c>
      <c r="D12" s="22">
        <v>130</v>
      </c>
      <c r="E12" s="22">
        <v>10</v>
      </c>
      <c r="F12" s="23" t="s">
        <v>24</v>
      </c>
      <c r="G12" s="24" t="str">
        <f t="shared" si="0"/>
        <v>Standard Price</v>
      </c>
      <c r="H12" s="19" t="str">
        <f t="shared" si="1"/>
        <v>14</v>
      </c>
      <c r="I12" s="25" t="str">
        <f t="shared" si="2"/>
        <v>UK</v>
      </c>
      <c r="J12" s="26" t="str">
        <f t="shared" si="3"/>
        <v>OCT</v>
      </c>
      <c r="L12" s="14" t="s">
        <v>97</v>
      </c>
      <c r="M12" s="45">
        <v>30</v>
      </c>
    </row>
    <row r="13" spans="1:20" ht="16.5" thickBot="1" x14ac:dyDescent="0.3">
      <c r="A13" s="21" t="s">
        <v>40</v>
      </c>
      <c r="B13" s="22" t="s">
        <v>7</v>
      </c>
      <c r="C13" s="22" t="s">
        <v>41</v>
      </c>
      <c r="D13" s="22">
        <v>950</v>
      </c>
      <c r="E13" s="22">
        <v>25</v>
      </c>
      <c r="F13" s="23" t="s">
        <v>9</v>
      </c>
      <c r="G13" s="24" t="str">
        <f t="shared" si="0"/>
        <v>High Price</v>
      </c>
      <c r="H13" s="19" t="str">
        <f t="shared" si="1"/>
        <v>17</v>
      </c>
      <c r="I13" s="25" t="str">
        <f t="shared" si="2"/>
        <v>IN</v>
      </c>
      <c r="J13" s="26" t="str">
        <f t="shared" si="3"/>
        <v>JUN</v>
      </c>
      <c r="L13" s="33" t="s">
        <v>98</v>
      </c>
      <c r="M13" s="48">
        <v>1000</v>
      </c>
    </row>
    <row r="14" spans="1:20" ht="15.75" x14ac:dyDescent="0.25">
      <c r="A14" s="21" t="s">
        <v>42</v>
      </c>
      <c r="B14" s="22" t="s">
        <v>11</v>
      </c>
      <c r="C14" s="22" t="s">
        <v>30</v>
      </c>
      <c r="D14" s="22">
        <v>90</v>
      </c>
      <c r="E14" s="22">
        <v>40</v>
      </c>
      <c r="F14" s="23" t="s">
        <v>13</v>
      </c>
      <c r="G14" s="24" t="str">
        <f t="shared" si="0"/>
        <v>Standard Price</v>
      </c>
      <c r="H14" s="19" t="str">
        <f t="shared" si="1"/>
        <v>25</v>
      </c>
      <c r="I14" s="25" t="str">
        <f t="shared" si="2"/>
        <v>AU</v>
      </c>
      <c r="J14" s="26" t="str">
        <f t="shared" si="3"/>
        <v>NOV</v>
      </c>
    </row>
    <row r="15" spans="1:20" ht="16.5" thickBot="1" x14ac:dyDescent="0.3">
      <c r="A15" s="21" t="s">
        <v>43</v>
      </c>
      <c r="B15" s="22" t="s">
        <v>15</v>
      </c>
      <c r="C15" s="22" t="s">
        <v>44</v>
      </c>
      <c r="D15" s="22">
        <v>120</v>
      </c>
      <c r="E15" s="22">
        <v>35</v>
      </c>
      <c r="F15" s="23" t="s">
        <v>17</v>
      </c>
      <c r="G15" s="24" t="str">
        <f t="shared" si="0"/>
        <v>Standard Price</v>
      </c>
      <c r="H15" s="19" t="str">
        <f t="shared" si="1"/>
        <v>08</v>
      </c>
      <c r="I15" s="25" t="str">
        <f t="shared" si="2"/>
        <v>DE</v>
      </c>
      <c r="J15" s="26" t="str">
        <f t="shared" si="3"/>
        <v>DEC</v>
      </c>
    </row>
    <row r="16" spans="1:20" ht="19.5" thickBot="1" x14ac:dyDescent="0.3">
      <c r="A16" s="21" t="s">
        <v>45</v>
      </c>
      <c r="B16" s="22" t="s">
        <v>46</v>
      </c>
      <c r="C16" s="22" t="s">
        <v>47</v>
      </c>
      <c r="D16" s="22">
        <v>150</v>
      </c>
      <c r="E16" s="22">
        <v>15</v>
      </c>
      <c r="F16" s="23" t="s">
        <v>9</v>
      </c>
      <c r="G16" s="24" t="str">
        <f t="shared" si="0"/>
        <v>Standard Price</v>
      </c>
      <c r="H16" s="19" t="str">
        <f t="shared" si="1"/>
        <v>18</v>
      </c>
      <c r="I16" s="25" t="str">
        <f t="shared" si="2"/>
        <v>CA</v>
      </c>
      <c r="J16" s="26" t="str">
        <f t="shared" si="3"/>
        <v>FEB</v>
      </c>
      <c r="L16" s="41" t="s">
        <v>116</v>
      </c>
      <c r="M16" s="42"/>
    </row>
    <row r="17" spans="1:13" ht="15.75" x14ac:dyDescent="0.25">
      <c r="A17" s="21" t="s">
        <v>48</v>
      </c>
      <c r="B17" s="22" t="s">
        <v>26</v>
      </c>
      <c r="C17" s="22" t="s">
        <v>49</v>
      </c>
      <c r="D17" s="22">
        <v>250</v>
      </c>
      <c r="E17" s="22">
        <v>20</v>
      </c>
      <c r="F17" s="23" t="s">
        <v>9</v>
      </c>
      <c r="G17" s="24" t="str">
        <f t="shared" si="0"/>
        <v>Standard Price</v>
      </c>
      <c r="H17" s="19" t="str">
        <f t="shared" si="1"/>
        <v>16</v>
      </c>
      <c r="I17" s="25" t="str">
        <f t="shared" si="2"/>
        <v>ES</v>
      </c>
      <c r="J17" s="26" t="str">
        <f t="shared" si="3"/>
        <v>APR</v>
      </c>
      <c r="L17" s="14" t="s">
        <v>102</v>
      </c>
      <c r="M17" s="65" t="s">
        <v>121</v>
      </c>
    </row>
    <row r="18" spans="1:13" ht="16.5" thickBot="1" x14ac:dyDescent="0.3">
      <c r="A18" s="21" t="s">
        <v>50</v>
      </c>
      <c r="B18" s="22" t="s">
        <v>51</v>
      </c>
      <c r="C18" s="22" t="s">
        <v>52</v>
      </c>
      <c r="D18" s="22">
        <v>50</v>
      </c>
      <c r="E18" s="22">
        <v>35</v>
      </c>
      <c r="F18" s="23" t="s">
        <v>53</v>
      </c>
      <c r="G18" s="24" t="str">
        <f t="shared" si="0"/>
        <v>Standard Price</v>
      </c>
      <c r="H18" s="19" t="str">
        <f t="shared" si="1"/>
        <v>21</v>
      </c>
      <c r="I18" s="25" t="str">
        <f t="shared" si="2"/>
        <v>CA</v>
      </c>
      <c r="J18" s="26" t="str">
        <f t="shared" si="3"/>
        <v>AUG</v>
      </c>
      <c r="L18" s="33" t="s">
        <v>103</v>
      </c>
      <c r="M18" s="49"/>
    </row>
    <row r="19" spans="1:13" ht="15.75" x14ac:dyDescent="0.25">
      <c r="A19" s="21" t="s">
        <v>54</v>
      </c>
      <c r="B19" s="22" t="s">
        <v>46</v>
      </c>
      <c r="C19" s="22" t="s">
        <v>55</v>
      </c>
      <c r="D19" s="22">
        <v>160</v>
      </c>
      <c r="E19" s="22">
        <v>15</v>
      </c>
      <c r="F19" s="23" t="s">
        <v>9</v>
      </c>
      <c r="G19" s="24" t="str">
        <f t="shared" si="0"/>
        <v>Standard Price</v>
      </c>
      <c r="H19" s="19" t="str">
        <f t="shared" si="1"/>
        <v>20</v>
      </c>
      <c r="I19" s="25" t="str">
        <f t="shared" si="2"/>
        <v>CN</v>
      </c>
      <c r="J19" s="26" t="str">
        <f t="shared" si="3"/>
        <v>AUG</v>
      </c>
    </row>
    <row r="20" spans="1:13" ht="16.5" thickBot="1" x14ac:dyDescent="0.3">
      <c r="A20" s="21" t="s">
        <v>56</v>
      </c>
      <c r="B20" s="22" t="s">
        <v>7</v>
      </c>
      <c r="C20" s="22" t="s">
        <v>57</v>
      </c>
      <c r="D20" s="22">
        <v>980</v>
      </c>
      <c r="E20" s="22">
        <v>10</v>
      </c>
      <c r="F20" s="23" t="s">
        <v>9</v>
      </c>
      <c r="G20" s="24" t="str">
        <f t="shared" si="0"/>
        <v>High Price</v>
      </c>
      <c r="H20" s="19" t="str">
        <f t="shared" si="1"/>
        <v>27</v>
      </c>
      <c r="I20" s="25" t="str">
        <f t="shared" si="2"/>
        <v>IT</v>
      </c>
      <c r="J20" s="26" t="str">
        <f t="shared" si="3"/>
        <v>JAN</v>
      </c>
    </row>
    <row r="21" spans="1:13" ht="19.5" thickBot="1" x14ac:dyDescent="0.35">
      <c r="A21" s="21" t="s">
        <v>58</v>
      </c>
      <c r="B21" s="22" t="s">
        <v>59</v>
      </c>
      <c r="C21" s="22" t="s">
        <v>60</v>
      </c>
      <c r="D21" s="22">
        <v>150</v>
      </c>
      <c r="E21" s="22">
        <v>15</v>
      </c>
      <c r="F21" s="23" t="s">
        <v>13</v>
      </c>
      <c r="G21" s="24" t="str">
        <f t="shared" si="0"/>
        <v>Standard Price</v>
      </c>
      <c r="H21" s="19" t="str">
        <f t="shared" si="1"/>
        <v>01</v>
      </c>
      <c r="I21" s="25" t="str">
        <f t="shared" si="2"/>
        <v>UK</v>
      </c>
      <c r="J21" s="26" t="str">
        <f t="shared" si="3"/>
        <v>MAR</v>
      </c>
      <c r="L21" s="43" t="s">
        <v>117</v>
      </c>
      <c r="M21" s="44"/>
    </row>
    <row r="22" spans="1:13" ht="15.75" x14ac:dyDescent="0.25">
      <c r="A22" s="21" t="s">
        <v>61</v>
      </c>
      <c r="B22" s="22" t="s">
        <v>62</v>
      </c>
      <c r="C22" s="22" t="s">
        <v>63</v>
      </c>
      <c r="D22" s="22">
        <v>200</v>
      </c>
      <c r="E22" s="22">
        <v>10</v>
      </c>
      <c r="F22" s="23" t="s">
        <v>24</v>
      </c>
      <c r="G22" s="24" t="str">
        <f t="shared" si="0"/>
        <v>Standard Price</v>
      </c>
      <c r="H22" s="19" t="str">
        <f t="shared" si="1"/>
        <v>14</v>
      </c>
      <c r="I22" s="25" t="str">
        <f t="shared" si="2"/>
        <v>US</v>
      </c>
      <c r="J22" s="26" t="str">
        <f t="shared" si="3"/>
        <v>AUG</v>
      </c>
      <c r="L22" s="14" t="s">
        <v>100</v>
      </c>
      <c r="M22" s="45">
        <v>8050</v>
      </c>
    </row>
    <row r="23" spans="1:13" ht="16.5" thickBot="1" x14ac:dyDescent="0.3">
      <c r="A23" s="21" t="s">
        <v>64</v>
      </c>
      <c r="B23" s="22" t="s">
        <v>65</v>
      </c>
      <c r="C23" s="22" t="s">
        <v>66</v>
      </c>
      <c r="D23" s="22">
        <v>700</v>
      </c>
      <c r="E23" s="22">
        <v>50</v>
      </c>
      <c r="F23" s="23" t="s">
        <v>9</v>
      </c>
      <c r="G23" s="24" t="str">
        <f t="shared" si="0"/>
        <v>High Price</v>
      </c>
      <c r="H23" s="19" t="str">
        <f t="shared" si="1"/>
        <v>14</v>
      </c>
      <c r="I23" s="25" t="str">
        <f t="shared" si="2"/>
        <v>RU</v>
      </c>
      <c r="J23" s="26" t="str">
        <f t="shared" si="3"/>
        <v>MAY</v>
      </c>
      <c r="L23" s="33" t="s">
        <v>101</v>
      </c>
      <c r="M23" s="50">
        <v>11</v>
      </c>
    </row>
    <row r="24" spans="1:13" ht="15.75" x14ac:dyDescent="0.25">
      <c r="A24" s="21" t="s">
        <v>67</v>
      </c>
      <c r="B24" s="22" t="s">
        <v>68</v>
      </c>
      <c r="C24" s="22" t="s">
        <v>69</v>
      </c>
      <c r="D24" s="22">
        <v>80</v>
      </c>
      <c r="E24" s="22">
        <v>20</v>
      </c>
      <c r="F24" s="23" t="s">
        <v>17</v>
      </c>
      <c r="G24" s="24" t="str">
        <f t="shared" si="0"/>
        <v>Standard Price</v>
      </c>
      <c r="H24" s="19" t="str">
        <f t="shared" si="1"/>
        <v>09</v>
      </c>
      <c r="I24" s="25" t="str">
        <f t="shared" si="2"/>
        <v>CA</v>
      </c>
      <c r="J24" s="26" t="str">
        <f t="shared" si="3"/>
        <v>JAN</v>
      </c>
    </row>
    <row r="25" spans="1:13" ht="16.5" thickBot="1" x14ac:dyDescent="0.3">
      <c r="A25" s="21" t="s">
        <v>70</v>
      </c>
      <c r="B25" s="22" t="s">
        <v>71</v>
      </c>
      <c r="C25" s="22" t="s">
        <v>72</v>
      </c>
      <c r="D25" s="22">
        <v>150</v>
      </c>
      <c r="E25" s="22">
        <v>30</v>
      </c>
      <c r="F25" s="23" t="s">
        <v>9</v>
      </c>
      <c r="G25" s="24" t="str">
        <f t="shared" si="0"/>
        <v>Standard Price</v>
      </c>
      <c r="H25" s="19" t="str">
        <f t="shared" si="1"/>
        <v>19</v>
      </c>
      <c r="I25" s="25" t="str">
        <f t="shared" si="2"/>
        <v>BR</v>
      </c>
      <c r="J25" s="26" t="str">
        <f t="shared" si="3"/>
        <v>JUL</v>
      </c>
    </row>
    <row r="26" spans="1:13" ht="19.5" thickBot="1" x14ac:dyDescent="0.35">
      <c r="A26" s="21" t="s">
        <v>50</v>
      </c>
      <c r="B26" s="22" t="s">
        <v>51</v>
      </c>
      <c r="C26" s="22" t="s">
        <v>52</v>
      </c>
      <c r="D26" s="22">
        <v>50</v>
      </c>
      <c r="E26" s="22">
        <v>35</v>
      </c>
      <c r="F26" s="23" t="s">
        <v>53</v>
      </c>
      <c r="G26" s="24" t="str">
        <f t="shared" si="0"/>
        <v>Standard Price</v>
      </c>
      <c r="H26" s="19" t="str">
        <f t="shared" si="1"/>
        <v>21</v>
      </c>
      <c r="I26" s="25" t="str">
        <f t="shared" si="2"/>
        <v>CA</v>
      </c>
      <c r="J26" s="26" t="str">
        <f t="shared" si="3"/>
        <v>AUG</v>
      </c>
      <c r="L26" s="43" t="s">
        <v>104</v>
      </c>
      <c r="M26" s="44"/>
    </row>
    <row r="27" spans="1:13" ht="15.75" x14ac:dyDescent="0.25">
      <c r="A27" s="21" t="s">
        <v>73</v>
      </c>
      <c r="B27" s="22" t="s">
        <v>19</v>
      </c>
      <c r="C27" s="22" t="s">
        <v>74</v>
      </c>
      <c r="D27" s="22">
        <v>800</v>
      </c>
      <c r="E27" s="22">
        <v>45</v>
      </c>
      <c r="F27" s="23" t="s">
        <v>9</v>
      </c>
      <c r="G27" s="24" t="str">
        <f t="shared" si="0"/>
        <v>High Price</v>
      </c>
      <c r="H27" s="19" t="str">
        <f t="shared" si="1"/>
        <v>29</v>
      </c>
      <c r="I27" s="25" t="str">
        <f t="shared" si="2"/>
        <v>CA</v>
      </c>
      <c r="J27" s="26" t="str">
        <f t="shared" si="3"/>
        <v>SEP</v>
      </c>
      <c r="L27" s="14" t="s">
        <v>118</v>
      </c>
      <c r="M27" s="45" t="s">
        <v>107</v>
      </c>
    </row>
    <row r="28" spans="1:13" ht="15.75" x14ac:dyDescent="0.25">
      <c r="A28" s="21" t="s">
        <v>75</v>
      </c>
      <c r="B28" s="22" t="s">
        <v>59</v>
      </c>
      <c r="C28" s="22" t="s">
        <v>76</v>
      </c>
      <c r="D28" s="22">
        <v>130</v>
      </c>
      <c r="E28" s="22">
        <v>25</v>
      </c>
      <c r="F28" s="23" t="s">
        <v>13</v>
      </c>
      <c r="G28" s="24" t="str">
        <f t="shared" si="0"/>
        <v>Standard Price</v>
      </c>
      <c r="H28" s="19" t="str">
        <f t="shared" si="1"/>
        <v>03</v>
      </c>
      <c r="I28" s="25" t="str">
        <f t="shared" si="2"/>
        <v>CA</v>
      </c>
      <c r="J28" s="26" t="str">
        <f t="shared" si="3"/>
        <v>JUN</v>
      </c>
      <c r="L28" s="12" t="s">
        <v>119</v>
      </c>
      <c r="M28" s="45" t="s">
        <v>108</v>
      </c>
    </row>
    <row r="29" spans="1:13" ht="16.5" thickBot="1" x14ac:dyDescent="0.3">
      <c r="A29" s="21" t="s">
        <v>77</v>
      </c>
      <c r="B29" s="22" t="s">
        <v>32</v>
      </c>
      <c r="C29" s="22" t="s">
        <v>78</v>
      </c>
      <c r="D29" s="22">
        <v>400</v>
      </c>
      <c r="E29" s="22">
        <v>40</v>
      </c>
      <c r="F29" s="23" t="s">
        <v>17</v>
      </c>
      <c r="G29" s="24" t="str">
        <f t="shared" si="0"/>
        <v>Standard Price</v>
      </c>
      <c r="H29" s="19" t="str">
        <f t="shared" si="1"/>
        <v>11</v>
      </c>
      <c r="I29" s="25" t="str">
        <f t="shared" si="2"/>
        <v>CA</v>
      </c>
      <c r="J29" s="26" t="str">
        <f t="shared" si="3"/>
        <v>JUL</v>
      </c>
      <c r="L29" s="13" t="s">
        <v>120</v>
      </c>
      <c r="M29" s="51" t="s">
        <v>109</v>
      </c>
    </row>
    <row r="30" spans="1:13" ht="15.75" x14ac:dyDescent="0.25">
      <c r="A30" s="21" t="s">
        <v>48</v>
      </c>
      <c r="B30" s="22" t="s">
        <v>26</v>
      </c>
      <c r="C30" s="22" t="s">
        <v>49</v>
      </c>
      <c r="D30" s="22">
        <v>230</v>
      </c>
      <c r="E30" s="22">
        <v>20</v>
      </c>
      <c r="F30" s="23" t="s">
        <v>9</v>
      </c>
      <c r="G30" s="24" t="str">
        <f t="shared" si="0"/>
        <v>Standard Price</v>
      </c>
      <c r="H30" s="19" t="str">
        <f t="shared" si="1"/>
        <v>16</v>
      </c>
      <c r="I30" s="25" t="str">
        <f t="shared" si="2"/>
        <v>ES</v>
      </c>
      <c r="J30" s="26" t="str">
        <f t="shared" si="3"/>
        <v>APR</v>
      </c>
    </row>
    <row r="31" spans="1:13" ht="15.75" x14ac:dyDescent="0.25">
      <c r="A31" s="21" t="s">
        <v>79</v>
      </c>
      <c r="B31" s="22" t="s">
        <v>80</v>
      </c>
      <c r="C31" s="22" t="s">
        <v>81</v>
      </c>
      <c r="D31" s="22">
        <v>60</v>
      </c>
      <c r="E31" s="22">
        <v>30</v>
      </c>
      <c r="F31" s="23" t="s">
        <v>13</v>
      </c>
      <c r="G31" s="24" t="str">
        <f t="shared" si="0"/>
        <v>Standard Price</v>
      </c>
      <c r="H31" s="19" t="str">
        <f t="shared" si="1"/>
        <v>07</v>
      </c>
      <c r="I31" s="25" t="str">
        <f t="shared" si="2"/>
        <v>CA</v>
      </c>
      <c r="J31" s="26" t="str">
        <f t="shared" si="3"/>
        <v>MAR</v>
      </c>
    </row>
    <row r="32" spans="1:13" ht="15.75" x14ac:dyDescent="0.25">
      <c r="A32" s="21" t="s">
        <v>82</v>
      </c>
      <c r="B32" s="22" t="s">
        <v>83</v>
      </c>
      <c r="C32" s="22" t="s">
        <v>84</v>
      </c>
      <c r="D32" s="22">
        <v>40</v>
      </c>
      <c r="E32" s="22">
        <v>10</v>
      </c>
      <c r="F32" s="23" t="s">
        <v>17</v>
      </c>
      <c r="G32" s="24" t="str">
        <f t="shared" si="0"/>
        <v>Standard Price</v>
      </c>
      <c r="H32" s="19" t="str">
        <f t="shared" si="1"/>
        <v>13</v>
      </c>
      <c r="I32" s="25" t="str">
        <f t="shared" si="2"/>
        <v>CA</v>
      </c>
      <c r="J32" s="26" t="str">
        <f t="shared" si="3"/>
        <v>APR</v>
      </c>
    </row>
    <row r="33" spans="1:10" ht="15.75" x14ac:dyDescent="0.25">
      <c r="A33" s="21" t="s">
        <v>85</v>
      </c>
      <c r="B33" s="22" t="s">
        <v>71</v>
      </c>
      <c r="C33" s="22" t="s">
        <v>86</v>
      </c>
      <c r="D33" s="22">
        <v>130</v>
      </c>
      <c r="E33" s="22">
        <v>5</v>
      </c>
      <c r="F33" s="23" t="s">
        <v>9</v>
      </c>
      <c r="G33" s="24" t="str">
        <f t="shared" si="0"/>
        <v>Standard Price</v>
      </c>
      <c r="H33" s="19" t="str">
        <f t="shared" si="1"/>
        <v>24</v>
      </c>
      <c r="I33" s="25" t="str">
        <f t="shared" si="2"/>
        <v>CA</v>
      </c>
      <c r="J33" s="26" t="str">
        <f t="shared" si="3"/>
        <v>MAY</v>
      </c>
    </row>
    <row r="34" spans="1:10" ht="15.75" x14ac:dyDescent="0.25">
      <c r="A34" s="21" t="s">
        <v>87</v>
      </c>
      <c r="B34" s="22" t="s">
        <v>88</v>
      </c>
      <c r="C34" s="22" t="s">
        <v>89</v>
      </c>
      <c r="D34" s="22">
        <v>50</v>
      </c>
      <c r="E34" s="22">
        <v>50</v>
      </c>
      <c r="F34" s="23" t="s">
        <v>13</v>
      </c>
      <c r="G34" s="24" t="str">
        <f t="shared" si="0"/>
        <v>Standard Price</v>
      </c>
      <c r="H34" s="19" t="str">
        <f t="shared" si="1"/>
        <v>02</v>
      </c>
      <c r="I34" s="25" t="str">
        <f t="shared" si="2"/>
        <v>CA</v>
      </c>
      <c r="J34" s="26" t="str">
        <f t="shared" si="3"/>
        <v>DEC</v>
      </c>
    </row>
    <row r="35" spans="1:10" ht="15.75" x14ac:dyDescent="0.25">
      <c r="A35" s="21" t="s">
        <v>40</v>
      </c>
      <c r="B35" s="22" t="s">
        <v>7</v>
      </c>
      <c r="C35" s="22" t="s">
        <v>41</v>
      </c>
      <c r="D35" s="22">
        <v>950</v>
      </c>
      <c r="E35" s="22">
        <v>25</v>
      </c>
      <c r="F35" s="23" t="s">
        <v>9</v>
      </c>
      <c r="G35" s="24" t="str">
        <f t="shared" si="0"/>
        <v>High Price</v>
      </c>
      <c r="H35" s="19" t="str">
        <f t="shared" si="1"/>
        <v>17</v>
      </c>
      <c r="I35" s="25" t="str">
        <f t="shared" si="2"/>
        <v>IN</v>
      </c>
      <c r="J35" s="26" t="str">
        <f t="shared" si="3"/>
        <v>JUN</v>
      </c>
    </row>
    <row r="36" spans="1:10" ht="16.5" thickBot="1" x14ac:dyDescent="0.3">
      <c r="A36" s="27" t="s">
        <v>90</v>
      </c>
      <c r="B36" s="28" t="s">
        <v>91</v>
      </c>
      <c r="C36" s="28" t="s">
        <v>92</v>
      </c>
      <c r="D36" s="28">
        <v>100</v>
      </c>
      <c r="E36" s="28">
        <v>20</v>
      </c>
      <c r="F36" s="29" t="s">
        <v>53</v>
      </c>
      <c r="G36" s="30" t="str">
        <f t="shared" si="0"/>
        <v>Standard Price</v>
      </c>
      <c r="H36" s="64" t="str">
        <f t="shared" si="1"/>
        <v>09</v>
      </c>
      <c r="I36" s="31" t="str">
        <f t="shared" si="2"/>
        <v>FR</v>
      </c>
      <c r="J36" s="32" t="str">
        <f t="shared" si="3"/>
        <v>JUL</v>
      </c>
    </row>
  </sheetData>
  <mergeCells count="10">
    <mergeCell ref="L26:M26"/>
    <mergeCell ref="A1:F1"/>
    <mergeCell ref="G1:J1"/>
    <mergeCell ref="L2:M3"/>
    <mergeCell ref="P2:T3"/>
    <mergeCell ref="L5:M5"/>
    <mergeCell ref="L11:M11"/>
    <mergeCell ref="L16:M16"/>
    <mergeCell ref="L21:M21"/>
    <mergeCell ref="M17:M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Hemaishwarya Chandrasekhar</cp:lastModifiedBy>
  <dcterms:created xsi:type="dcterms:W3CDTF">2026-05-23T07:23:28Z</dcterms:created>
  <dcterms:modified xsi:type="dcterms:W3CDTF">2026-05-23T09:21:10Z</dcterms:modified>
</cp:coreProperties>
</file>